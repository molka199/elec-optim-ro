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lka\Downloads\"/>
    </mc:Choice>
  </mc:AlternateContent>
  <xr:revisionPtr revIDLastSave="0" documentId="13_ncr:1_{11F542F3-C6D6-4B27-BBD0-F2E16B3F751E}" xr6:coauthVersionLast="47" xr6:coauthVersionMax="47" xr10:uidLastSave="{00000000-0000-0000-0000-000000000000}"/>
  <bookViews>
    <workbookView minimized="1" xWindow="1860" yWindow="1860" windowWidth="15375" windowHeight="7785" xr2:uid="{DFB6E366-D20E-47D8-9CFA-F4C259485A69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58" i="1" l="1"/>
  <c r="AA58" i="1"/>
  <c r="Z58" i="1"/>
  <c r="Y58" i="1"/>
  <c r="X58" i="1"/>
  <c r="W58" i="1"/>
  <c r="V58" i="1"/>
  <c r="AC57" i="1"/>
  <c r="AB57" i="1"/>
  <c r="AA57" i="1"/>
  <c r="Z57" i="1"/>
  <c r="Y57" i="1"/>
  <c r="X57" i="1"/>
  <c r="W57" i="1"/>
  <c r="V57" i="1"/>
  <c r="AC56" i="1"/>
  <c r="AB56" i="1"/>
  <c r="AA56" i="1"/>
  <c r="Z56" i="1"/>
  <c r="Y56" i="1"/>
  <c r="X56" i="1"/>
  <c r="W56" i="1"/>
  <c r="V56" i="1"/>
  <c r="AC55" i="1"/>
  <c r="AB55" i="1"/>
  <c r="AA55" i="1"/>
  <c r="Z55" i="1"/>
  <c r="Y55" i="1"/>
  <c r="X55" i="1"/>
  <c r="W55" i="1"/>
  <c r="V55" i="1"/>
  <c r="AC54" i="1"/>
  <c r="AB54" i="1"/>
  <c r="AA54" i="1"/>
  <c r="Z54" i="1"/>
  <c r="Y54" i="1"/>
  <c r="X54" i="1"/>
  <c r="W54" i="1"/>
  <c r="V54" i="1"/>
  <c r="AC53" i="1"/>
  <c r="AB53" i="1"/>
  <c r="AA53" i="1"/>
  <c r="Z53" i="1"/>
  <c r="Y53" i="1"/>
  <c r="X53" i="1"/>
  <c r="W53" i="1"/>
  <c r="V53" i="1"/>
  <c r="AC58" i="1"/>
  <c r="W49" i="1"/>
  <c r="AA49" i="1"/>
  <c r="Y49" i="1"/>
  <c r="V47" i="1"/>
  <c r="V46" i="1"/>
  <c r="V45" i="1"/>
  <c r="V44" i="1"/>
  <c r="V43" i="1"/>
  <c r="AC47" i="1"/>
  <c r="AB47" i="1"/>
  <c r="AA47" i="1"/>
  <c r="Z47" i="1"/>
  <c r="Y47" i="1"/>
  <c r="X47" i="1"/>
  <c r="W47" i="1"/>
  <c r="AC46" i="1"/>
  <c r="AB46" i="1"/>
  <c r="AA46" i="1"/>
  <c r="Z46" i="1"/>
  <c r="Y46" i="1"/>
  <c r="X46" i="1"/>
  <c r="W46" i="1"/>
  <c r="AC45" i="1"/>
  <c r="AB45" i="1"/>
  <c r="AA45" i="1"/>
  <c r="Z45" i="1"/>
  <c r="Y45" i="1"/>
  <c r="X45" i="1"/>
  <c r="W45" i="1"/>
  <c r="AC44" i="1"/>
  <c r="AB44" i="1"/>
  <c r="AA44" i="1"/>
  <c r="Z44" i="1"/>
  <c r="Y44" i="1"/>
  <c r="X44" i="1"/>
  <c r="W44" i="1"/>
  <c r="AC43" i="1"/>
  <c r="AB43" i="1"/>
  <c r="AA43" i="1"/>
  <c r="Z43" i="1"/>
  <c r="Y43" i="1"/>
  <c r="X43" i="1"/>
  <c r="W43" i="1"/>
  <c r="AC42" i="1"/>
  <c r="AB42" i="1"/>
  <c r="AA42" i="1"/>
  <c r="Z42" i="1"/>
  <c r="Y42" i="1"/>
  <c r="X42" i="1"/>
  <c r="W42" i="1"/>
  <c r="V42" i="1"/>
  <c r="AB48" i="1"/>
  <c r="AB49" i="1" s="1"/>
  <c r="AD37" i="1"/>
  <c r="AE37" i="1" s="1"/>
  <c r="AD36" i="1"/>
  <c r="AE36" i="1" s="1"/>
  <c r="AD35" i="1"/>
  <c r="AE35" i="1" s="1"/>
  <c r="AD34" i="1"/>
  <c r="AE34" i="1" s="1"/>
  <c r="AD33" i="1"/>
  <c r="AE33" i="1" s="1"/>
  <c r="AD32" i="1"/>
  <c r="AE32" i="1" s="1"/>
  <c r="Z48" i="1" l="1"/>
  <c r="Z49" i="1" s="1"/>
  <c r="AA48" i="1"/>
  <c r="Y48" i="1"/>
  <c r="AC48" i="1"/>
  <c r="AC49" i="1" s="1"/>
  <c r="X48" i="1"/>
  <c r="X49" i="1" s="1"/>
  <c r="V48" i="1"/>
  <c r="V49" i="1" s="1"/>
  <c r="W48" i="1"/>
</calcChain>
</file>

<file path=xl/sharedStrings.xml><?xml version="1.0" encoding="utf-8"?>
<sst xmlns="http://schemas.openxmlformats.org/spreadsheetml/2006/main" count="118" uniqueCount="32">
  <si>
    <t>Centrale</t>
  </si>
  <si>
    <t>Capacité max (MW)</t>
  </si>
  <si>
    <t>Coût de production (€ / MW)</t>
  </si>
  <si>
    <t>C1</t>
  </si>
  <si>
    <t>C2</t>
  </si>
  <si>
    <t>C3</t>
  </si>
  <si>
    <t>C4</t>
  </si>
  <si>
    <t>C5</t>
  </si>
  <si>
    <t>C6</t>
  </si>
  <si>
    <t>Ville</t>
  </si>
  <si>
    <t>Demande (MW)</t>
  </si>
  <si>
    <t>V1</t>
  </si>
  <si>
    <t>V2</t>
  </si>
  <si>
    <t>V3</t>
  </si>
  <si>
    <t>V4</t>
  </si>
  <si>
    <t>V5</t>
  </si>
  <si>
    <t>V6</t>
  </si>
  <si>
    <t>V7</t>
  </si>
  <si>
    <t>V8</t>
  </si>
  <si>
    <t>Centrale → Ville</t>
  </si>
  <si>
    <t>Tableau 1 : Capacités maximales des centrales</t>
  </si>
  <si>
    <t>Tableau 2 : Demandes des villes</t>
  </si>
  <si>
    <t>Tableau 3 : Coût de transport (€/MW)</t>
  </si>
  <si>
    <t>Tableau 4 : Pertes d'énergie (en %)</t>
  </si>
  <si>
    <t>Tableau 5: Capacités des lignes de transmission (en MW)</t>
  </si>
  <si>
    <t>INSERER SOLUTION</t>
  </si>
  <si>
    <t xml:space="preserve">SOMME CENTRALE </t>
  </si>
  <si>
    <t>respecte?</t>
  </si>
  <si>
    <t xml:space="preserve">avec pertes </t>
  </si>
  <si>
    <t xml:space="preserve">somme ville </t>
  </si>
  <si>
    <t>respecte ?</t>
  </si>
  <si>
    <t xml:space="preserve">Limites cables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</si>
</sst>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2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wrapText="1" shrinkToFi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0" fillId="2" borderId="2" xfId="0" applyFill="1" applyBorder="1" applyAlignment="1">
      <alignment vertical="center" wrapText="1"/>
    </xf>
    <xf numFmtId="0" fontId="0" fillId="2" borderId="0" xfId="0" applyFill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4" fillId="3" borderId="0" xfId="0" applyFont="1" applyFill="1"/>
    <xf numFmtId="0" fontId="0" fillId="3" borderId="0" xfId="0" applyFill="1"/>
    <xf numFmtId="0" fontId="1" fillId="3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0" fillId="2" borderId="0" xfId="0" applyFill="1"/>
    <xf numFmtId="0" fontId="0" fillId="4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11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Capacités maximales des centrales  (MW) et Cout de production (€ / MW)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TN"/>
        </a:p>
      </c:txPr>
    </c:title>
    <c:autoTitleDeleted val="0"/>
    <c:plotArea>
      <c:layout>
        <c:manualLayout>
          <c:layoutTarget val="inner"/>
          <c:xMode val="edge"/>
          <c:yMode val="edge"/>
          <c:x val="8.4803149606299214E-2"/>
          <c:y val="0.19891258384368621"/>
          <c:w val="0.89019685039370078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Feuil1!$B$3</c:f>
              <c:strCache>
                <c:ptCount val="1"/>
                <c:pt idx="0">
                  <c:v>Capacité max (MW)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T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Feuil1!$A$4:$A$9</c:f>
              <c:strCache>
                <c:ptCount val="6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C6</c:v>
                </c:pt>
              </c:strCache>
            </c:strRef>
          </c:cat>
          <c:val>
            <c:numRef>
              <c:f>Feuil1!$B$4:$B$9</c:f>
              <c:numCache>
                <c:formatCode>General</c:formatCode>
                <c:ptCount val="6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110</c:v>
                </c:pt>
                <c:pt idx="4">
                  <c:v>70</c:v>
                </c:pt>
                <c:pt idx="5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04-435C-98F5-6B4EC3E2BE9A}"/>
            </c:ext>
          </c:extLst>
        </c:ser>
        <c:ser>
          <c:idx val="1"/>
          <c:order val="1"/>
          <c:tx>
            <c:strRef>
              <c:f>Feuil1!$C$3</c:f>
              <c:strCache>
                <c:ptCount val="1"/>
                <c:pt idx="0">
                  <c:v>Coût de production (€ / MW)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T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Feuil1!$A$4:$A$9</c:f>
              <c:strCache>
                <c:ptCount val="6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C6</c:v>
                </c:pt>
              </c:strCache>
            </c:strRef>
          </c:cat>
          <c:val>
            <c:numRef>
              <c:f>Feuil1!$C$4:$C$9</c:f>
              <c:numCache>
                <c:formatCode>General</c:formatCode>
                <c:ptCount val="6"/>
                <c:pt idx="0">
                  <c:v>30</c:v>
                </c:pt>
                <c:pt idx="1">
                  <c:v>28</c:v>
                </c:pt>
                <c:pt idx="2">
                  <c:v>32</c:v>
                </c:pt>
                <c:pt idx="3">
                  <c:v>29</c:v>
                </c:pt>
                <c:pt idx="4">
                  <c:v>31</c:v>
                </c:pt>
                <c:pt idx="5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04-435C-98F5-6B4EC3E2BE9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714605264"/>
        <c:axId val="1045746816"/>
      </c:barChart>
      <c:catAx>
        <c:axId val="7146052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TN"/>
          </a:p>
        </c:txPr>
        <c:crossAx val="1045746816"/>
        <c:crosses val="autoZero"/>
        <c:auto val="1"/>
        <c:lblAlgn val="ctr"/>
        <c:lblOffset val="100"/>
        <c:noMultiLvlLbl val="0"/>
      </c:catAx>
      <c:valAx>
        <c:axId val="10457468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TN"/>
          </a:p>
        </c:txPr>
        <c:crossAx val="71460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fr-TN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T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Demandes des villes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T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Feuil1!$B$12</c:f>
              <c:strCache>
                <c:ptCount val="1"/>
                <c:pt idx="0">
                  <c:v>Demande (MW)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T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Feuil1!$A$13:$A$20</c:f>
              <c:strCache>
                <c:ptCount val="8"/>
                <c:pt idx="0">
                  <c:v>V1</c:v>
                </c:pt>
                <c:pt idx="1">
                  <c:v>V2</c:v>
                </c:pt>
                <c:pt idx="2">
                  <c:v>V3</c:v>
                </c:pt>
                <c:pt idx="3">
                  <c:v>V4</c:v>
                </c:pt>
                <c:pt idx="4">
                  <c:v>V5</c:v>
                </c:pt>
                <c:pt idx="5">
                  <c:v>V6</c:v>
                </c:pt>
                <c:pt idx="6">
                  <c:v>V7</c:v>
                </c:pt>
                <c:pt idx="7">
                  <c:v>V8</c:v>
                </c:pt>
              </c:strCache>
            </c:strRef>
          </c:cat>
          <c:val>
            <c:numRef>
              <c:f>Feuil1!$B$13:$B$20</c:f>
              <c:numCache>
                <c:formatCode>General</c:formatCode>
                <c:ptCount val="8"/>
                <c:pt idx="0">
                  <c:v>50</c:v>
                </c:pt>
                <c:pt idx="1">
                  <c:v>40</c:v>
                </c:pt>
                <c:pt idx="2">
                  <c:v>60</c:v>
                </c:pt>
                <c:pt idx="3">
                  <c:v>55</c:v>
                </c:pt>
                <c:pt idx="4">
                  <c:v>45</c:v>
                </c:pt>
                <c:pt idx="5">
                  <c:v>35</c:v>
                </c:pt>
                <c:pt idx="6">
                  <c:v>50</c:v>
                </c:pt>
                <c:pt idx="7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99-4E72-BF83-18751623EAE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72702464"/>
        <c:axId val="972702944"/>
      </c:lineChart>
      <c:catAx>
        <c:axId val="9727024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TN"/>
          </a:p>
        </c:txPr>
        <c:crossAx val="972702944"/>
        <c:crosses val="autoZero"/>
        <c:auto val="1"/>
        <c:lblAlgn val="ctr"/>
        <c:lblOffset val="100"/>
        <c:noMultiLvlLbl val="0"/>
      </c:catAx>
      <c:valAx>
        <c:axId val="9727029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TN"/>
          </a:p>
        </c:txPr>
        <c:crossAx val="97270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fr-TN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T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/>
              <a:t>Coût de transport (€/MW)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T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Feuil1!$A$24</c:f>
              <c:strCache>
                <c:ptCount val="1"/>
                <c:pt idx="0">
                  <c:v>C1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T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Feuil1!$B$23:$I$23</c:f>
              <c:strCache>
                <c:ptCount val="8"/>
                <c:pt idx="0">
                  <c:v>V1</c:v>
                </c:pt>
                <c:pt idx="1">
                  <c:v>V2</c:v>
                </c:pt>
                <c:pt idx="2">
                  <c:v>V3</c:v>
                </c:pt>
                <c:pt idx="3">
                  <c:v>V4</c:v>
                </c:pt>
                <c:pt idx="4">
                  <c:v>V5</c:v>
                </c:pt>
                <c:pt idx="5">
                  <c:v>V6</c:v>
                </c:pt>
                <c:pt idx="6">
                  <c:v>V7</c:v>
                </c:pt>
                <c:pt idx="7">
                  <c:v>V8</c:v>
                </c:pt>
              </c:strCache>
            </c:strRef>
          </c:cat>
          <c:val>
            <c:numRef>
              <c:f>Feuil1!$B$24:$I$24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4</c:v>
                </c:pt>
                <c:pt idx="3">
                  <c:v>7</c:v>
                </c:pt>
                <c:pt idx="4">
                  <c:v>8</c:v>
                </c:pt>
                <c:pt idx="5">
                  <c:v>5</c:v>
                </c:pt>
                <c:pt idx="6">
                  <c:v>9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5B-4EF7-A053-3EE10955FB27}"/>
            </c:ext>
          </c:extLst>
        </c:ser>
        <c:ser>
          <c:idx val="1"/>
          <c:order val="1"/>
          <c:tx>
            <c:strRef>
              <c:f>Feuil1!$A$25</c:f>
              <c:strCache>
                <c:ptCount val="1"/>
                <c:pt idx="0">
                  <c:v>C2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T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Feuil1!$B$23:$I$23</c:f>
              <c:strCache>
                <c:ptCount val="8"/>
                <c:pt idx="0">
                  <c:v>V1</c:v>
                </c:pt>
                <c:pt idx="1">
                  <c:v>V2</c:v>
                </c:pt>
                <c:pt idx="2">
                  <c:v>V3</c:v>
                </c:pt>
                <c:pt idx="3">
                  <c:v>V4</c:v>
                </c:pt>
                <c:pt idx="4">
                  <c:v>V5</c:v>
                </c:pt>
                <c:pt idx="5">
                  <c:v>V6</c:v>
                </c:pt>
                <c:pt idx="6">
                  <c:v>V7</c:v>
                </c:pt>
                <c:pt idx="7">
                  <c:v>V8</c:v>
                </c:pt>
              </c:strCache>
            </c:strRef>
          </c:cat>
          <c:val>
            <c:numRef>
              <c:f>Feuil1!$B$25:$I$25</c:f>
              <c:numCache>
                <c:formatCode>General</c:formatCode>
                <c:ptCount val="8"/>
                <c:pt idx="0">
                  <c:v>4</c:v>
                </c:pt>
                <c:pt idx="1">
                  <c:v>7</c:v>
                </c:pt>
                <c:pt idx="2">
                  <c:v>5</c:v>
                </c:pt>
                <c:pt idx="3">
                  <c:v>6</c:v>
                </c:pt>
                <c:pt idx="4">
                  <c:v>5</c:v>
                </c:pt>
                <c:pt idx="5">
                  <c:v>7</c:v>
                </c:pt>
                <c:pt idx="6">
                  <c:v>8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5B-4EF7-A053-3EE10955FB27}"/>
            </c:ext>
          </c:extLst>
        </c:ser>
        <c:ser>
          <c:idx val="2"/>
          <c:order val="2"/>
          <c:tx>
            <c:strRef>
              <c:f>Feuil1!$A$26</c:f>
              <c:strCache>
                <c:ptCount val="1"/>
                <c:pt idx="0">
                  <c:v>C3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T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Feuil1!$B$23:$I$23</c:f>
              <c:strCache>
                <c:ptCount val="8"/>
                <c:pt idx="0">
                  <c:v>V1</c:v>
                </c:pt>
                <c:pt idx="1">
                  <c:v>V2</c:v>
                </c:pt>
                <c:pt idx="2">
                  <c:v>V3</c:v>
                </c:pt>
                <c:pt idx="3">
                  <c:v>V4</c:v>
                </c:pt>
                <c:pt idx="4">
                  <c:v>V5</c:v>
                </c:pt>
                <c:pt idx="5">
                  <c:v>V6</c:v>
                </c:pt>
                <c:pt idx="6">
                  <c:v>V7</c:v>
                </c:pt>
                <c:pt idx="7">
                  <c:v>V8</c:v>
                </c:pt>
              </c:strCache>
            </c:strRef>
          </c:cat>
          <c:val>
            <c:numRef>
              <c:f>Feuil1!$B$26:$I$26</c:f>
              <c:numCache>
                <c:formatCode>General</c:formatCode>
                <c:ptCount val="8"/>
                <c:pt idx="0">
                  <c:v>6</c:v>
                </c:pt>
                <c:pt idx="1">
                  <c:v>5</c:v>
                </c:pt>
                <c:pt idx="2">
                  <c:v>7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5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5B-4EF7-A053-3EE10955FB27}"/>
            </c:ext>
          </c:extLst>
        </c:ser>
        <c:ser>
          <c:idx val="3"/>
          <c:order val="3"/>
          <c:tx>
            <c:strRef>
              <c:f>Feuil1!$A$27</c:f>
              <c:strCache>
                <c:ptCount val="1"/>
                <c:pt idx="0">
                  <c:v>C4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T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Feuil1!$B$23:$I$23</c:f>
              <c:strCache>
                <c:ptCount val="8"/>
                <c:pt idx="0">
                  <c:v>V1</c:v>
                </c:pt>
                <c:pt idx="1">
                  <c:v>V2</c:v>
                </c:pt>
                <c:pt idx="2">
                  <c:v>V3</c:v>
                </c:pt>
                <c:pt idx="3">
                  <c:v>V4</c:v>
                </c:pt>
                <c:pt idx="4">
                  <c:v>V5</c:v>
                </c:pt>
                <c:pt idx="5">
                  <c:v>V6</c:v>
                </c:pt>
                <c:pt idx="6">
                  <c:v>V7</c:v>
                </c:pt>
                <c:pt idx="7">
                  <c:v>V8</c:v>
                </c:pt>
              </c:strCache>
            </c:strRef>
          </c:cat>
          <c:val>
            <c:numRef>
              <c:f>Feuil1!$B$27:$I$27</c:f>
              <c:numCache>
                <c:formatCode>General</c:formatCode>
                <c:ptCount val="8"/>
                <c:pt idx="0">
                  <c:v>7</c:v>
                </c:pt>
                <c:pt idx="1">
                  <c:v>8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5B-4EF7-A053-3EE10955FB27}"/>
            </c:ext>
          </c:extLst>
        </c:ser>
        <c:ser>
          <c:idx val="4"/>
          <c:order val="4"/>
          <c:tx>
            <c:strRef>
              <c:f>Feuil1!$A$28</c:f>
              <c:strCache>
                <c:ptCount val="1"/>
                <c:pt idx="0">
                  <c:v>C5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T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Feuil1!$B$23:$I$23</c:f>
              <c:strCache>
                <c:ptCount val="8"/>
                <c:pt idx="0">
                  <c:v>V1</c:v>
                </c:pt>
                <c:pt idx="1">
                  <c:v>V2</c:v>
                </c:pt>
                <c:pt idx="2">
                  <c:v>V3</c:v>
                </c:pt>
                <c:pt idx="3">
                  <c:v>V4</c:v>
                </c:pt>
                <c:pt idx="4">
                  <c:v>V5</c:v>
                </c:pt>
                <c:pt idx="5">
                  <c:v>V6</c:v>
                </c:pt>
                <c:pt idx="6">
                  <c:v>V7</c:v>
                </c:pt>
                <c:pt idx="7">
                  <c:v>V8</c:v>
                </c:pt>
              </c:strCache>
            </c:strRef>
          </c:cat>
          <c:val>
            <c:numRef>
              <c:f>Feuil1!$B$28:$I$28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7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5B-4EF7-A053-3EE10955FB27}"/>
            </c:ext>
          </c:extLst>
        </c:ser>
        <c:ser>
          <c:idx val="5"/>
          <c:order val="5"/>
          <c:tx>
            <c:strRef>
              <c:f>Feuil1!$A$29</c:f>
              <c:strCache>
                <c:ptCount val="1"/>
                <c:pt idx="0">
                  <c:v>C6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T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Feuil1!$B$23:$I$23</c:f>
              <c:strCache>
                <c:ptCount val="8"/>
                <c:pt idx="0">
                  <c:v>V1</c:v>
                </c:pt>
                <c:pt idx="1">
                  <c:v>V2</c:v>
                </c:pt>
                <c:pt idx="2">
                  <c:v>V3</c:v>
                </c:pt>
                <c:pt idx="3">
                  <c:v>V4</c:v>
                </c:pt>
                <c:pt idx="4">
                  <c:v>V5</c:v>
                </c:pt>
                <c:pt idx="5">
                  <c:v>V6</c:v>
                </c:pt>
                <c:pt idx="6">
                  <c:v>V7</c:v>
                </c:pt>
                <c:pt idx="7">
                  <c:v>V8</c:v>
                </c:pt>
              </c:strCache>
            </c:strRef>
          </c:cat>
          <c:val>
            <c:numRef>
              <c:f>Feuil1!$B$29:$I$29</c:f>
              <c:numCache>
                <c:formatCode>General</c:formatCode>
                <c:ptCount val="8"/>
                <c:pt idx="0">
                  <c:v>8</c:v>
                </c:pt>
                <c:pt idx="1">
                  <c:v>7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5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5B-4EF7-A053-3EE10955FB2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053621184"/>
        <c:axId val="1053611584"/>
      </c:barChart>
      <c:catAx>
        <c:axId val="105362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TN"/>
          </a:p>
        </c:txPr>
        <c:crossAx val="1053611584"/>
        <c:crosses val="autoZero"/>
        <c:auto val="1"/>
        <c:lblAlgn val="ctr"/>
        <c:lblOffset val="100"/>
        <c:noMultiLvlLbl val="0"/>
      </c:catAx>
      <c:valAx>
        <c:axId val="10536115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5362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T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T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Pertes d'énergie (en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T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Feuil1!$B$32</c:f>
              <c:strCache>
                <c:ptCount val="1"/>
                <c:pt idx="0">
                  <c:v>V1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Feuil1!$A$33:$A$38</c:f>
              <c:strCache>
                <c:ptCount val="6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C6</c:v>
                </c:pt>
              </c:strCache>
            </c:strRef>
          </c:cat>
          <c:val>
            <c:numRef>
              <c:f>Feuil1!$B$33:$B$38</c:f>
              <c:numCache>
                <c:formatCode>General</c:formatCode>
                <c:ptCount val="6"/>
                <c:pt idx="0">
                  <c:v>2</c:v>
                </c:pt>
                <c:pt idx="1">
                  <c:v>2.5</c:v>
                </c:pt>
                <c:pt idx="2">
                  <c:v>1.5</c:v>
                </c:pt>
                <c:pt idx="3">
                  <c:v>2.2000000000000002</c:v>
                </c:pt>
                <c:pt idx="4">
                  <c:v>2.5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2D-48A5-8A68-F9DF0BA56289}"/>
            </c:ext>
          </c:extLst>
        </c:ser>
        <c:ser>
          <c:idx val="1"/>
          <c:order val="1"/>
          <c:tx>
            <c:strRef>
              <c:f>Feuil1!$C$32</c:f>
              <c:strCache>
                <c:ptCount val="1"/>
                <c:pt idx="0">
                  <c:v>V2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Feuil1!$A$33:$A$38</c:f>
              <c:strCache>
                <c:ptCount val="6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C6</c:v>
                </c:pt>
              </c:strCache>
            </c:strRef>
          </c:cat>
          <c:val>
            <c:numRef>
              <c:f>Feuil1!$C$33:$C$38</c:f>
              <c:numCache>
                <c:formatCode>General</c:formatCode>
                <c:ptCount val="6"/>
                <c:pt idx="0">
                  <c:v>2.5</c:v>
                </c:pt>
                <c:pt idx="1">
                  <c:v>3</c:v>
                </c:pt>
                <c:pt idx="2">
                  <c:v>2</c:v>
                </c:pt>
                <c:pt idx="3">
                  <c:v>2.7</c:v>
                </c:pt>
                <c:pt idx="4">
                  <c:v>3.1</c:v>
                </c:pt>
                <c:pt idx="5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2D-48A5-8A68-F9DF0BA56289}"/>
            </c:ext>
          </c:extLst>
        </c:ser>
        <c:ser>
          <c:idx val="2"/>
          <c:order val="2"/>
          <c:tx>
            <c:strRef>
              <c:f>Feuil1!$D$32</c:f>
              <c:strCache>
                <c:ptCount val="1"/>
                <c:pt idx="0">
                  <c:v>V3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Feuil1!$A$33:$A$38</c:f>
              <c:strCache>
                <c:ptCount val="6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C6</c:v>
                </c:pt>
              </c:strCache>
            </c:strRef>
          </c:cat>
          <c:val>
            <c:numRef>
              <c:f>Feuil1!$D$33:$D$38</c:f>
              <c:numCache>
                <c:formatCode>General</c:formatCode>
                <c:ptCount val="6"/>
                <c:pt idx="0">
                  <c:v>1.5</c:v>
                </c:pt>
                <c:pt idx="1">
                  <c:v>2.2000000000000002</c:v>
                </c:pt>
                <c:pt idx="2">
                  <c:v>2.5</c:v>
                </c:pt>
                <c:pt idx="3">
                  <c:v>2.2999999999999998</c:v>
                </c:pt>
                <c:pt idx="4">
                  <c:v>2.7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2D-48A5-8A68-F9DF0BA56289}"/>
            </c:ext>
          </c:extLst>
        </c:ser>
        <c:ser>
          <c:idx val="3"/>
          <c:order val="3"/>
          <c:tx>
            <c:strRef>
              <c:f>Feuil1!$E$32</c:f>
              <c:strCache>
                <c:ptCount val="1"/>
                <c:pt idx="0">
                  <c:v>V4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Feuil1!$A$33:$A$38</c:f>
              <c:strCache>
                <c:ptCount val="6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C6</c:v>
                </c:pt>
              </c:strCache>
            </c:strRef>
          </c:cat>
          <c:val>
            <c:numRef>
              <c:f>Feuil1!$E$33:$E$38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2.8</c:v>
                </c:pt>
                <c:pt idx="4">
                  <c:v>3.3</c:v>
                </c:pt>
                <c:pt idx="5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2D-48A5-8A68-F9DF0BA56289}"/>
            </c:ext>
          </c:extLst>
        </c:ser>
        <c:ser>
          <c:idx val="4"/>
          <c:order val="4"/>
          <c:tx>
            <c:strRef>
              <c:f>Feuil1!$F$32</c:f>
              <c:strCache>
                <c:ptCount val="1"/>
                <c:pt idx="0">
                  <c:v>V5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Feuil1!$A$33:$A$38</c:f>
              <c:strCache>
                <c:ptCount val="6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C6</c:v>
                </c:pt>
              </c:strCache>
            </c:strRef>
          </c:cat>
          <c:val>
            <c:numRef>
              <c:f>Feuil1!$F$33:$F$38</c:f>
              <c:numCache>
                <c:formatCode>General</c:formatCode>
                <c:ptCount val="6"/>
                <c:pt idx="0">
                  <c:v>3.5</c:v>
                </c:pt>
                <c:pt idx="1">
                  <c:v>3.2</c:v>
                </c:pt>
                <c:pt idx="2">
                  <c:v>3</c:v>
                </c:pt>
                <c:pt idx="3">
                  <c:v>3.1</c:v>
                </c:pt>
                <c:pt idx="4">
                  <c:v>3.6</c:v>
                </c:pt>
                <c:pt idx="5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32D-48A5-8A68-F9DF0BA56289}"/>
            </c:ext>
          </c:extLst>
        </c:ser>
        <c:ser>
          <c:idx val="5"/>
          <c:order val="5"/>
          <c:tx>
            <c:strRef>
              <c:f>Feuil1!$G$32</c:f>
              <c:strCache>
                <c:ptCount val="1"/>
                <c:pt idx="0">
                  <c:v>V6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Feuil1!$A$33:$A$38</c:f>
              <c:strCache>
                <c:ptCount val="6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C6</c:v>
                </c:pt>
              </c:strCache>
            </c:strRef>
          </c:cat>
          <c:val>
            <c:numRef>
              <c:f>Feuil1!$G$33:$G$38</c:f>
              <c:numCache>
                <c:formatCode>General</c:formatCode>
                <c:ptCount val="6"/>
                <c:pt idx="0">
                  <c:v>2</c:v>
                </c:pt>
                <c:pt idx="1">
                  <c:v>2.5</c:v>
                </c:pt>
                <c:pt idx="2">
                  <c:v>2.8</c:v>
                </c:pt>
                <c:pt idx="3">
                  <c:v>2.6</c:v>
                </c:pt>
                <c:pt idx="4">
                  <c:v>3.1</c:v>
                </c:pt>
                <c:pt idx="5">
                  <c:v>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2D-48A5-8A68-F9DF0BA56289}"/>
            </c:ext>
          </c:extLst>
        </c:ser>
        <c:ser>
          <c:idx val="6"/>
          <c:order val="6"/>
          <c:tx>
            <c:strRef>
              <c:f>Feuil1!$H$32</c:f>
              <c:strCache>
                <c:ptCount val="1"/>
                <c:pt idx="0">
                  <c:v>V7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</a:ln>
            <a:effectLst>
              <a:glow rad="139700">
                <a:schemeClr val="accent1">
                  <a:lumMod val="60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Feuil1!$A$33:$A$38</c:f>
              <c:strCache>
                <c:ptCount val="6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C6</c:v>
                </c:pt>
              </c:strCache>
            </c:strRef>
          </c:cat>
          <c:val>
            <c:numRef>
              <c:f>Feuil1!$H$33:$H$38</c:f>
              <c:numCache>
                <c:formatCode>General</c:formatCode>
                <c:ptCount val="6"/>
                <c:pt idx="0">
                  <c:v>4</c:v>
                </c:pt>
                <c:pt idx="1">
                  <c:v>3.5</c:v>
                </c:pt>
                <c:pt idx="2">
                  <c:v>4</c:v>
                </c:pt>
                <c:pt idx="3">
                  <c:v>3.8</c:v>
                </c:pt>
                <c:pt idx="4">
                  <c:v>4.2</c:v>
                </c:pt>
                <c:pt idx="5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32D-48A5-8A68-F9DF0BA56289}"/>
            </c:ext>
          </c:extLst>
        </c:ser>
        <c:ser>
          <c:idx val="7"/>
          <c:order val="7"/>
          <c:tx>
            <c:strRef>
              <c:f>Feuil1!$I$32</c:f>
              <c:strCache>
                <c:ptCount val="1"/>
                <c:pt idx="0">
                  <c:v>V8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</a:ln>
            <a:effectLst>
              <a:glow rad="139700">
                <a:schemeClr val="accent2">
                  <a:lumMod val="60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Feuil1!$A$33:$A$38</c:f>
              <c:strCache>
                <c:ptCount val="6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C6</c:v>
                </c:pt>
              </c:strCache>
            </c:strRef>
          </c:cat>
          <c:val>
            <c:numRef>
              <c:f>Feuil1!$I$33:$I$38</c:f>
              <c:numCache>
                <c:formatCode>General</c:formatCode>
                <c:ptCount val="6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3.4</c:v>
                </c:pt>
                <c:pt idx="4">
                  <c:v>3.8</c:v>
                </c:pt>
                <c:pt idx="5">
                  <c:v>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32D-48A5-8A68-F9DF0BA56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9718560"/>
        <c:axId val="379719040"/>
      </c:lineChart>
      <c:catAx>
        <c:axId val="37971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TN"/>
          </a:p>
        </c:txPr>
        <c:crossAx val="379719040"/>
        <c:crosses val="autoZero"/>
        <c:auto val="1"/>
        <c:lblAlgn val="ctr"/>
        <c:lblOffset val="100"/>
        <c:noMultiLvlLbl val="0"/>
      </c:catAx>
      <c:valAx>
        <c:axId val="3797190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TN"/>
          </a:p>
        </c:txPr>
        <c:crossAx val="379718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fr-TN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T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/>
              <a:t>Capacités des lignes de transmission (en MW)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T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Feuil1!$B$41</c:f>
              <c:strCache>
                <c:ptCount val="1"/>
                <c:pt idx="0">
                  <c:v>V1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Feuil1!$A$42:$A$47</c:f>
              <c:strCache>
                <c:ptCount val="6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C6</c:v>
                </c:pt>
              </c:strCache>
            </c:strRef>
          </c:cat>
          <c:val>
            <c:numRef>
              <c:f>Feuil1!$B$42:$B$47</c:f>
              <c:numCache>
                <c:formatCode>General</c:formatCode>
                <c:ptCount val="6"/>
                <c:pt idx="0">
                  <c:v>70</c:v>
                </c:pt>
                <c:pt idx="1">
                  <c:v>60</c:v>
                </c:pt>
                <c:pt idx="2">
                  <c:v>60</c:v>
                </c:pt>
                <c:pt idx="3">
                  <c:v>65</c:v>
                </c:pt>
                <c:pt idx="4">
                  <c:v>70</c:v>
                </c:pt>
                <c:pt idx="5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5B-4735-B2A0-CA9094066248}"/>
            </c:ext>
          </c:extLst>
        </c:ser>
        <c:ser>
          <c:idx val="1"/>
          <c:order val="1"/>
          <c:tx>
            <c:strRef>
              <c:f>Feuil1!$C$41</c:f>
              <c:strCache>
                <c:ptCount val="1"/>
                <c:pt idx="0">
                  <c:v>V2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Feuil1!$A$42:$A$47</c:f>
              <c:strCache>
                <c:ptCount val="6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C6</c:v>
                </c:pt>
              </c:strCache>
            </c:strRef>
          </c:cat>
          <c:val>
            <c:numRef>
              <c:f>Feuil1!$C$42:$C$47</c:f>
              <c:numCache>
                <c:formatCode>General</c:formatCode>
                <c:ptCount val="6"/>
                <c:pt idx="0">
                  <c:v>50</c:v>
                </c:pt>
                <c:pt idx="1">
                  <c:v>70</c:v>
                </c:pt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5B-4735-B2A0-CA9094066248}"/>
            </c:ext>
          </c:extLst>
        </c:ser>
        <c:ser>
          <c:idx val="2"/>
          <c:order val="2"/>
          <c:tx>
            <c:strRef>
              <c:f>Feuil1!$D$41</c:f>
              <c:strCache>
                <c:ptCount val="1"/>
                <c:pt idx="0">
                  <c:v>V3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Feuil1!$A$42:$A$47</c:f>
              <c:strCache>
                <c:ptCount val="6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C6</c:v>
                </c:pt>
              </c:strCache>
            </c:strRef>
          </c:cat>
          <c:val>
            <c:numRef>
              <c:f>Feuil1!$D$42:$D$47</c:f>
              <c:numCache>
                <c:formatCode>General</c:formatCode>
                <c:ptCount val="6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  <c:pt idx="5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5B-4735-B2A0-CA9094066248}"/>
            </c:ext>
          </c:extLst>
        </c:ser>
        <c:ser>
          <c:idx val="3"/>
          <c:order val="3"/>
          <c:tx>
            <c:strRef>
              <c:f>Feuil1!$E$41</c:f>
              <c:strCache>
                <c:ptCount val="1"/>
                <c:pt idx="0">
                  <c:v>V4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Feuil1!$A$42:$A$47</c:f>
              <c:strCache>
                <c:ptCount val="6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C6</c:v>
                </c:pt>
              </c:strCache>
            </c:strRef>
          </c:cat>
          <c:val>
            <c:numRef>
              <c:f>Feuil1!$E$42:$E$47</c:f>
              <c:numCache>
                <c:formatCode>General</c:formatCode>
                <c:ptCount val="6"/>
                <c:pt idx="0">
                  <c:v>60</c:v>
                </c:pt>
                <c:pt idx="1">
                  <c:v>70</c:v>
                </c:pt>
                <c:pt idx="2">
                  <c:v>70</c:v>
                </c:pt>
                <c:pt idx="3">
                  <c:v>72</c:v>
                </c:pt>
                <c:pt idx="4">
                  <c:v>75</c:v>
                </c:pt>
                <c:pt idx="5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5B-4735-B2A0-CA9094066248}"/>
            </c:ext>
          </c:extLst>
        </c:ser>
        <c:ser>
          <c:idx val="4"/>
          <c:order val="4"/>
          <c:tx>
            <c:strRef>
              <c:f>Feuil1!$F$41</c:f>
              <c:strCache>
                <c:ptCount val="1"/>
                <c:pt idx="0">
                  <c:v>V5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Feuil1!$A$42:$A$47</c:f>
              <c:strCache>
                <c:ptCount val="6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C6</c:v>
                </c:pt>
              </c:strCache>
            </c:strRef>
          </c:cat>
          <c:val>
            <c:numRef>
              <c:f>Feuil1!$F$42:$F$47</c:f>
              <c:numCache>
                <c:formatCode>General</c:formatCode>
                <c:ptCount val="6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65</c:v>
                </c:pt>
                <c:pt idx="4">
                  <c:v>70</c:v>
                </c:pt>
                <c:pt idx="5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5B-4735-B2A0-CA9094066248}"/>
            </c:ext>
          </c:extLst>
        </c:ser>
        <c:ser>
          <c:idx val="5"/>
          <c:order val="5"/>
          <c:tx>
            <c:strRef>
              <c:f>Feuil1!$G$41</c:f>
              <c:strCache>
                <c:ptCount val="1"/>
                <c:pt idx="0">
                  <c:v>V6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Feuil1!$A$42:$A$47</c:f>
              <c:strCache>
                <c:ptCount val="6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C6</c:v>
                </c:pt>
              </c:strCache>
            </c:strRef>
          </c:cat>
          <c:val>
            <c:numRef>
              <c:f>Feuil1!$G$42:$G$47</c:f>
              <c:numCache>
                <c:formatCode>General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05B-4735-B2A0-CA9094066248}"/>
            </c:ext>
          </c:extLst>
        </c:ser>
        <c:ser>
          <c:idx val="6"/>
          <c:order val="6"/>
          <c:tx>
            <c:strRef>
              <c:f>Feuil1!$H$41</c:f>
              <c:strCache>
                <c:ptCount val="1"/>
                <c:pt idx="0">
                  <c:v>V7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Feuil1!$A$42:$A$47</c:f>
              <c:strCache>
                <c:ptCount val="6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C6</c:v>
                </c:pt>
              </c:strCache>
            </c:strRef>
          </c:cat>
          <c:val>
            <c:numRef>
              <c:f>Feuil1!$H$42:$H$47</c:f>
              <c:numCache>
                <c:formatCode>General</c:formatCode>
                <c:ptCount val="6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55</c:v>
                </c:pt>
                <c:pt idx="4">
                  <c:v>60</c:v>
                </c:pt>
                <c:pt idx="5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5B-4735-B2A0-CA9094066248}"/>
            </c:ext>
          </c:extLst>
        </c:ser>
        <c:ser>
          <c:idx val="7"/>
          <c:order val="7"/>
          <c:tx>
            <c:strRef>
              <c:f>Feuil1!$I$41</c:f>
              <c:strCache>
                <c:ptCount val="1"/>
                <c:pt idx="0">
                  <c:v>V8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Feuil1!$A$42:$A$47</c:f>
              <c:strCache>
                <c:ptCount val="6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C6</c:v>
                </c:pt>
              </c:strCache>
            </c:strRef>
          </c:cat>
          <c:val>
            <c:numRef>
              <c:f>Feuil1!$I$42:$I$47</c:f>
              <c:numCache>
                <c:formatCode>General</c:formatCode>
                <c:ptCount val="6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65</c:v>
                </c:pt>
                <c:pt idx="4">
                  <c:v>70</c:v>
                </c:pt>
                <c:pt idx="5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05B-4735-B2A0-CA9094066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108155952"/>
        <c:axId val="1108152592"/>
      </c:barChart>
      <c:catAx>
        <c:axId val="1108155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TN"/>
          </a:p>
        </c:txPr>
        <c:crossAx val="1108152592"/>
        <c:crosses val="autoZero"/>
        <c:auto val="1"/>
        <c:lblAlgn val="ctr"/>
        <c:lblOffset val="100"/>
        <c:noMultiLvlLbl val="0"/>
      </c:catAx>
      <c:valAx>
        <c:axId val="1108152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TN"/>
          </a:p>
        </c:txPr>
        <c:crossAx val="110815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T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T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745435</xdr:colOff>
      <xdr:row>0</xdr:row>
      <xdr:rowOff>66260</xdr:rowOff>
    </xdr:from>
    <xdr:to>
      <xdr:col>11</xdr:col>
      <xdr:colOff>630115</xdr:colOff>
      <xdr:row>17</xdr:row>
      <xdr:rowOff>14653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19A4770-C49A-2E4D-4775-8BA61FB997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462407</xdr:colOff>
      <xdr:row>0</xdr:row>
      <xdr:rowOff>100936</xdr:rowOff>
    </xdr:from>
    <xdr:to>
      <xdr:col>19</xdr:col>
      <xdr:colOff>97149</xdr:colOff>
      <xdr:row>12</xdr:row>
      <xdr:rowOff>186610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B3DB497-3236-A20D-BEEE-5FA23F3AAE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116942</xdr:colOff>
      <xdr:row>17</xdr:row>
      <xdr:rowOff>51288</xdr:rowOff>
    </xdr:from>
    <xdr:to>
      <xdr:col>18</xdr:col>
      <xdr:colOff>168519</xdr:colOff>
      <xdr:row>29</xdr:row>
      <xdr:rowOff>256442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B110ED72-D964-BC4B-95BF-58B815193E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477503</xdr:colOff>
      <xdr:row>30</xdr:row>
      <xdr:rowOff>50884</xdr:rowOff>
    </xdr:from>
    <xdr:to>
      <xdr:col>15</xdr:col>
      <xdr:colOff>462463</xdr:colOff>
      <xdr:row>42</xdr:row>
      <xdr:rowOff>61913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CABFC822-A3CE-0491-FCD4-35F30535FF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290078</xdr:colOff>
      <xdr:row>43</xdr:row>
      <xdr:rowOff>93229</xdr:rowOff>
    </xdr:from>
    <xdr:to>
      <xdr:col>16</xdr:col>
      <xdr:colOff>606135</xdr:colOff>
      <xdr:row>62</xdr:row>
      <xdr:rowOff>101022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2A0513A9-876F-31CB-4E9B-4A3F2B19BC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0D96A-E11B-4883-B23F-D56449F167D1}">
  <dimension ref="A2:AE58"/>
  <sheetViews>
    <sheetView tabSelected="1" topLeftCell="R30" zoomScale="69" zoomScaleNormal="88" workbookViewId="0">
      <selection activeCell="AD49" sqref="AD49"/>
    </sheetView>
  </sheetViews>
  <sheetFormatPr baseColWidth="10" defaultRowHeight="15" x14ac:dyDescent="0.25"/>
  <cols>
    <col min="3" max="3" width="11.5703125" customWidth="1"/>
    <col min="26" max="26" width="11.42578125" customWidth="1"/>
    <col min="30" max="30" width="14.28515625" customWidth="1"/>
  </cols>
  <sheetData>
    <row r="2" spans="1:3" ht="18.75" x14ac:dyDescent="0.3">
      <c r="A2" s="2" t="s">
        <v>20</v>
      </c>
    </row>
    <row r="3" spans="1:3" ht="25.15" customHeight="1" x14ac:dyDescent="0.25">
      <c r="A3" s="3" t="s">
        <v>0</v>
      </c>
      <c r="B3" s="3" t="s">
        <v>1</v>
      </c>
      <c r="C3" s="4" t="s">
        <v>2</v>
      </c>
    </row>
    <row r="4" spans="1:3" x14ac:dyDescent="0.25">
      <c r="A4" s="3" t="s">
        <v>3</v>
      </c>
      <c r="B4" s="1">
        <v>100</v>
      </c>
      <c r="C4" s="1">
        <v>30</v>
      </c>
    </row>
    <row r="5" spans="1:3" x14ac:dyDescent="0.25">
      <c r="A5" s="3" t="s">
        <v>4</v>
      </c>
      <c r="B5" s="1">
        <v>90</v>
      </c>
      <c r="C5" s="1">
        <v>28</v>
      </c>
    </row>
    <row r="6" spans="1:3" x14ac:dyDescent="0.25">
      <c r="A6" s="3" t="s">
        <v>5</v>
      </c>
      <c r="B6" s="1">
        <v>80</v>
      </c>
      <c r="C6" s="1">
        <v>32</v>
      </c>
    </row>
    <row r="7" spans="1:3" x14ac:dyDescent="0.25">
      <c r="A7" s="3" t="s">
        <v>6</v>
      </c>
      <c r="B7" s="1">
        <v>110</v>
      </c>
      <c r="C7" s="1">
        <v>29</v>
      </c>
    </row>
    <row r="8" spans="1:3" x14ac:dyDescent="0.25">
      <c r="A8" s="3" t="s">
        <v>7</v>
      </c>
      <c r="B8" s="1">
        <v>70</v>
      </c>
      <c r="C8" s="1">
        <v>31</v>
      </c>
    </row>
    <row r="9" spans="1:3" x14ac:dyDescent="0.25">
      <c r="A9" s="3" t="s">
        <v>8</v>
      </c>
      <c r="B9" s="1">
        <v>95</v>
      </c>
      <c r="C9" s="1">
        <v>27</v>
      </c>
    </row>
    <row r="11" spans="1:3" ht="18.75" x14ac:dyDescent="0.3">
      <c r="A11" s="2" t="s">
        <v>21</v>
      </c>
    </row>
    <row r="12" spans="1:3" ht="30" x14ac:dyDescent="0.25">
      <c r="A12" s="5" t="s">
        <v>9</v>
      </c>
      <c r="B12" s="5" t="s">
        <v>10</v>
      </c>
    </row>
    <row r="13" spans="1:3" x14ac:dyDescent="0.25">
      <c r="A13" s="6" t="s">
        <v>11</v>
      </c>
      <c r="B13" s="6">
        <v>50</v>
      </c>
    </row>
    <row r="14" spans="1:3" x14ac:dyDescent="0.25">
      <c r="A14" s="6" t="s">
        <v>12</v>
      </c>
      <c r="B14" s="6">
        <v>40</v>
      </c>
    </row>
    <row r="15" spans="1:3" x14ac:dyDescent="0.25">
      <c r="A15" s="6" t="s">
        <v>13</v>
      </c>
      <c r="B15" s="6">
        <v>60</v>
      </c>
    </row>
    <row r="16" spans="1:3" x14ac:dyDescent="0.25">
      <c r="A16" s="6" t="s">
        <v>14</v>
      </c>
      <c r="B16" s="6">
        <v>55</v>
      </c>
    </row>
    <row r="17" spans="1:31" x14ac:dyDescent="0.25">
      <c r="A17" s="6" t="s">
        <v>15</v>
      </c>
      <c r="B17" s="6">
        <v>45</v>
      </c>
    </row>
    <row r="18" spans="1:31" x14ac:dyDescent="0.25">
      <c r="A18" s="6" t="s">
        <v>16</v>
      </c>
      <c r="B18" s="6">
        <v>35</v>
      </c>
    </row>
    <row r="19" spans="1:31" x14ac:dyDescent="0.25">
      <c r="A19" s="6" t="s">
        <v>17</v>
      </c>
      <c r="B19" s="6">
        <v>50</v>
      </c>
    </row>
    <row r="20" spans="1:31" x14ac:dyDescent="0.25">
      <c r="A20" s="6" t="s">
        <v>18</v>
      </c>
      <c r="B20" s="6">
        <v>65</v>
      </c>
    </row>
    <row r="22" spans="1:31" ht="18.75" x14ac:dyDescent="0.3">
      <c r="A22" s="2" t="s">
        <v>22</v>
      </c>
    </row>
    <row r="23" spans="1:31" ht="30" x14ac:dyDescent="0.25">
      <c r="A23" s="5" t="s">
        <v>19</v>
      </c>
      <c r="B23" s="5" t="s">
        <v>11</v>
      </c>
      <c r="C23" s="5" t="s">
        <v>12</v>
      </c>
      <c r="D23" s="5" t="s">
        <v>13</v>
      </c>
      <c r="E23" s="5" t="s">
        <v>14</v>
      </c>
      <c r="F23" s="5" t="s">
        <v>15</v>
      </c>
      <c r="G23" s="5" t="s">
        <v>16</v>
      </c>
      <c r="H23" s="5" t="s">
        <v>17</v>
      </c>
      <c r="I23" s="5" t="s">
        <v>18</v>
      </c>
    </row>
    <row r="24" spans="1:31" x14ac:dyDescent="0.25">
      <c r="A24" s="6" t="s">
        <v>3</v>
      </c>
      <c r="B24" s="6">
        <v>5</v>
      </c>
      <c r="C24" s="6">
        <v>6</v>
      </c>
      <c r="D24" s="6">
        <v>4</v>
      </c>
      <c r="E24" s="6">
        <v>7</v>
      </c>
      <c r="F24" s="6">
        <v>8</v>
      </c>
      <c r="G24" s="6">
        <v>5</v>
      </c>
      <c r="H24" s="6">
        <v>9</v>
      </c>
      <c r="I24" s="6">
        <v>6</v>
      </c>
    </row>
    <row r="25" spans="1:31" x14ac:dyDescent="0.25">
      <c r="A25" s="6" t="s">
        <v>4</v>
      </c>
      <c r="B25" s="6">
        <v>4</v>
      </c>
      <c r="C25" s="6">
        <v>7</v>
      </c>
      <c r="D25" s="6">
        <v>5</v>
      </c>
      <c r="E25" s="6">
        <v>6</v>
      </c>
      <c r="F25" s="6">
        <v>5</v>
      </c>
      <c r="G25" s="6">
        <v>7</v>
      </c>
      <c r="H25" s="6">
        <v>8</v>
      </c>
      <c r="I25" s="6">
        <v>5</v>
      </c>
      <c r="X25" s="8"/>
    </row>
    <row r="26" spans="1:31" x14ac:dyDescent="0.25">
      <c r="A26" s="6" t="s">
        <v>5</v>
      </c>
      <c r="B26" s="6">
        <v>6</v>
      </c>
      <c r="C26" s="6">
        <v>5</v>
      </c>
      <c r="D26" s="6">
        <v>7</v>
      </c>
      <c r="E26" s="6">
        <v>4</v>
      </c>
      <c r="F26" s="6">
        <v>6</v>
      </c>
      <c r="G26" s="6">
        <v>8</v>
      </c>
      <c r="H26" s="6">
        <v>5</v>
      </c>
      <c r="I26" s="6">
        <v>7</v>
      </c>
    </row>
    <row r="27" spans="1:31" x14ac:dyDescent="0.25">
      <c r="A27" s="6" t="s">
        <v>6</v>
      </c>
      <c r="B27" s="6">
        <v>7</v>
      </c>
      <c r="C27" s="6">
        <v>8</v>
      </c>
      <c r="D27" s="6">
        <v>6</v>
      </c>
      <c r="E27" s="6">
        <v>5</v>
      </c>
      <c r="F27" s="6">
        <v>4</v>
      </c>
      <c r="G27" s="6">
        <v>6</v>
      </c>
      <c r="H27" s="6">
        <v>7</v>
      </c>
      <c r="I27" s="6">
        <v>8</v>
      </c>
    </row>
    <row r="28" spans="1:31" x14ac:dyDescent="0.25">
      <c r="A28" s="6" t="s">
        <v>7</v>
      </c>
      <c r="B28" s="6">
        <v>5</v>
      </c>
      <c r="C28" s="6">
        <v>6</v>
      </c>
      <c r="D28" s="6">
        <v>8</v>
      </c>
      <c r="E28" s="6">
        <v>7</v>
      </c>
      <c r="F28" s="6">
        <v>6</v>
      </c>
      <c r="G28" s="6">
        <v>5</v>
      </c>
      <c r="H28" s="6">
        <v>7</v>
      </c>
      <c r="I28" s="6">
        <v>6</v>
      </c>
    </row>
    <row r="29" spans="1:31" x14ac:dyDescent="0.25">
      <c r="A29" s="6" t="s">
        <v>8</v>
      </c>
      <c r="B29" s="6">
        <v>8</v>
      </c>
      <c r="C29" s="6">
        <v>7</v>
      </c>
      <c r="D29" s="6">
        <v>5</v>
      </c>
      <c r="E29" s="6">
        <v>6</v>
      </c>
      <c r="F29" s="6">
        <v>7</v>
      </c>
      <c r="G29" s="6">
        <v>8</v>
      </c>
      <c r="H29" s="6">
        <v>5</v>
      </c>
      <c r="I29" s="6">
        <v>4</v>
      </c>
    </row>
    <row r="30" spans="1:31" ht="30" x14ac:dyDescent="0.25">
      <c r="V30" s="9" t="s">
        <v>25</v>
      </c>
    </row>
    <row r="31" spans="1:31" ht="30" x14ac:dyDescent="0.3">
      <c r="A31" s="2" t="s">
        <v>23</v>
      </c>
      <c r="U31" s="5"/>
      <c r="V31" s="5" t="s">
        <v>11</v>
      </c>
      <c r="W31" s="5" t="s">
        <v>12</v>
      </c>
      <c r="X31" s="5" t="s">
        <v>13</v>
      </c>
      <c r="Y31" s="5" t="s">
        <v>14</v>
      </c>
      <c r="Z31" s="5" t="s">
        <v>15</v>
      </c>
      <c r="AA31" s="5" t="s">
        <v>16</v>
      </c>
      <c r="AB31" s="5" t="s">
        <v>17</v>
      </c>
      <c r="AC31" s="5" t="s">
        <v>18</v>
      </c>
      <c r="AD31" s="12" t="s">
        <v>26</v>
      </c>
      <c r="AE31" s="16" t="s">
        <v>27</v>
      </c>
    </row>
    <row r="32" spans="1:31" ht="30" x14ac:dyDescent="0.25">
      <c r="A32" s="5" t="s">
        <v>19</v>
      </c>
      <c r="B32" s="5" t="s">
        <v>11</v>
      </c>
      <c r="C32" s="5" t="s">
        <v>12</v>
      </c>
      <c r="D32" s="5" t="s">
        <v>13</v>
      </c>
      <c r="E32" s="5" t="s">
        <v>14</v>
      </c>
      <c r="F32" s="5" t="s">
        <v>15</v>
      </c>
      <c r="G32" s="5" t="s">
        <v>16</v>
      </c>
      <c r="H32" s="5" t="s">
        <v>17</v>
      </c>
      <c r="I32" s="5" t="s">
        <v>18</v>
      </c>
      <c r="U32" s="7" t="s">
        <v>3</v>
      </c>
      <c r="V32" s="6">
        <v>0.02</v>
      </c>
      <c r="W32" s="6">
        <v>41.03</v>
      </c>
      <c r="X32" s="6">
        <v>43.95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10">
        <f t="shared" ref="AD32:AD37" si="0">SUM(V32:AC32)</f>
        <v>85</v>
      </c>
      <c r="AE32" s="15" t="str">
        <f>IF(AD32&gt;B4,"non","oui")</f>
        <v>oui</v>
      </c>
    </row>
    <row r="33" spans="1:31" x14ac:dyDescent="0.25">
      <c r="A33" s="7" t="s">
        <v>3</v>
      </c>
      <c r="B33" s="6">
        <v>2</v>
      </c>
      <c r="C33" s="6">
        <v>2.5</v>
      </c>
      <c r="D33" s="6">
        <v>1.5</v>
      </c>
      <c r="E33" s="6">
        <v>3</v>
      </c>
      <c r="F33" s="6">
        <v>3.5</v>
      </c>
      <c r="G33" s="6">
        <v>2</v>
      </c>
      <c r="H33" s="6">
        <v>4</v>
      </c>
      <c r="I33" s="6">
        <v>3</v>
      </c>
      <c r="U33" s="7" t="s">
        <v>4</v>
      </c>
      <c r="V33" s="6">
        <v>52</v>
      </c>
      <c r="W33" s="6">
        <v>0</v>
      </c>
      <c r="X33" s="6">
        <v>0.34</v>
      </c>
      <c r="Y33" s="6">
        <v>36.659999999999997</v>
      </c>
      <c r="Z33" s="6">
        <v>0</v>
      </c>
      <c r="AA33" s="6">
        <v>0</v>
      </c>
      <c r="AB33" s="6">
        <v>0</v>
      </c>
      <c r="AC33" s="6">
        <v>0</v>
      </c>
      <c r="AD33" s="10">
        <f t="shared" si="0"/>
        <v>89</v>
      </c>
      <c r="AE33" s="15" t="str">
        <f>IF(AD33&gt;B5,"non","oui")</f>
        <v>oui</v>
      </c>
    </row>
    <row r="34" spans="1:31" x14ac:dyDescent="0.25">
      <c r="A34" s="7" t="s">
        <v>4</v>
      </c>
      <c r="B34" s="6">
        <v>2.5</v>
      </c>
      <c r="C34" s="6">
        <v>3</v>
      </c>
      <c r="D34" s="6">
        <v>2.2000000000000002</v>
      </c>
      <c r="E34" s="6">
        <v>3</v>
      </c>
      <c r="F34" s="6">
        <v>3.2</v>
      </c>
      <c r="G34" s="6">
        <v>2.5</v>
      </c>
      <c r="H34" s="6">
        <v>3.5</v>
      </c>
      <c r="I34" s="6">
        <v>4</v>
      </c>
      <c r="U34" s="7" t="s">
        <v>5</v>
      </c>
      <c r="V34" s="6">
        <v>0</v>
      </c>
      <c r="W34" s="6">
        <v>0</v>
      </c>
      <c r="X34" s="6">
        <v>0</v>
      </c>
      <c r="Y34" s="6">
        <v>19.84</v>
      </c>
      <c r="Z34" s="6">
        <v>0.39</v>
      </c>
      <c r="AA34" s="6">
        <v>13.77</v>
      </c>
      <c r="AB34" s="6">
        <v>0</v>
      </c>
      <c r="AC34" s="6">
        <v>0</v>
      </c>
      <c r="AD34" s="10">
        <f t="shared" si="0"/>
        <v>34</v>
      </c>
      <c r="AE34" s="15" t="str">
        <f t="shared" ref="AE34:AE37" si="1">IF(AD34&gt;B6,"non","oui")</f>
        <v>oui</v>
      </c>
    </row>
    <row r="35" spans="1:31" x14ac:dyDescent="0.25">
      <c r="A35" s="7" t="s">
        <v>5</v>
      </c>
      <c r="B35" s="6">
        <v>1.5</v>
      </c>
      <c r="C35" s="6">
        <v>2</v>
      </c>
      <c r="D35" s="6">
        <v>2.5</v>
      </c>
      <c r="E35" s="6">
        <v>2</v>
      </c>
      <c r="F35" s="6">
        <v>3</v>
      </c>
      <c r="G35" s="6">
        <v>2.8</v>
      </c>
      <c r="H35" s="6">
        <v>4</v>
      </c>
      <c r="I35" s="6">
        <v>3</v>
      </c>
      <c r="U35" s="7" t="s">
        <v>6</v>
      </c>
      <c r="V35" s="6">
        <v>0</v>
      </c>
      <c r="W35" s="6">
        <v>0</v>
      </c>
      <c r="X35" s="6">
        <v>0</v>
      </c>
      <c r="Y35" s="6">
        <v>0</v>
      </c>
      <c r="Z35" s="6">
        <v>47</v>
      </c>
      <c r="AA35" s="6">
        <v>22.19</v>
      </c>
      <c r="AB35" s="6">
        <v>38.979999999999997</v>
      </c>
      <c r="AC35" s="6">
        <v>0.84</v>
      </c>
      <c r="AD35" s="11">
        <f t="shared" si="0"/>
        <v>109.00999999999999</v>
      </c>
      <c r="AE35" s="15" t="str">
        <f t="shared" si="1"/>
        <v>oui</v>
      </c>
    </row>
    <row r="36" spans="1:31" x14ac:dyDescent="0.25">
      <c r="A36" s="7" t="s">
        <v>6</v>
      </c>
      <c r="B36" s="6">
        <v>2.2000000000000002</v>
      </c>
      <c r="C36" s="6">
        <v>2.7</v>
      </c>
      <c r="D36" s="6">
        <v>2.2999999999999998</v>
      </c>
      <c r="E36" s="6">
        <v>2.8</v>
      </c>
      <c r="F36" s="6">
        <v>3.1</v>
      </c>
      <c r="G36" s="6">
        <v>2.6</v>
      </c>
      <c r="H36" s="6">
        <v>3.8</v>
      </c>
      <c r="I36" s="6">
        <v>3.4</v>
      </c>
      <c r="U36" s="7" t="s">
        <v>7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1.58</v>
      </c>
      <c r="AD36" s="11">
        <f t="shared" si="0"/>
        <v>1.58</v>
      </c>
      <c r="AE36" s="15" t="str">
        <f t="shared" si="1"/>
        <v>oui</v>
      </c>
    </row>
    <row r="37" spans="1:31" x14ac:dyDescent="0.25">
      <c r="A37" s="7" t="s">
        <v>7</v>
      </c>
      <c r="B37" s="6">
        <v>2.5</v>
      </c>
      <c r="C37" s="6">
        <v>3.1</v>
      </c>
      <c r="D37" s="6">
        <v>2.7</v>
      </c>
      <c r="E37" s="6">
        <v>3.3</v>
      </c>
      <c r="F37" s="6">
        <v>3.6</v>
      </c>
      <c r="G37" s="6">
        <v>3.1</v>
      </c>
      <c r="H37" s="6">
        <v>4.2</v>
      </c>
      <c r="I37" s="6">
        <v>3.8</v>
      </c>
      <c r="U37" s="7" t="s">
        <v>8</v>
      </c>
      <c r="V37" s="6">
        <v>0</v>
      </c>
      <c r="W37" s="6">
        <v>0</v>
      </c>
      <c r="X37" s="6">
        <v>17</v>
      </c>
      <c r="Y37" s="6">
        <v>0</v>
      </c>
      <c r="Z37" s="6">
        <v>0</v>
      </c>
      <c r="AA37" s="6">
        <v>0</v>
      </c>
      <c r="AB37" s="6">
        <v>13</v>
      </c>
      <c r="AC37" s="6">
        <v>65</v>
      </c>
      <c r="AD37" s="11">
        <f t="shared" si="0"/>
        <v>95</v>
      </c>
      <c r="AE37" s="15" t="str">
        <f t="shared" si="1"/>
        <v>oui</v>
      </c>
    </row>
    <row r="38" spans="1:31" x14ac:dyDescent="0.25">
      <c r="A38" s="7" t="s">
        <v>8</v>
      </c>
      <c r="B38" s="6">
        <v>2</v>
      </c>
      <c r="C38" s="6">
        <v>2.5</v>
      </c>
      <c r="D38" s="6">
        <v>2</v>
      </c>
      <c r="E38" s="6">
        <v>2.4</v>
      </c>
      <c r="F38" s="6">
        <v>2.8</v>
      </c>
      <c r="G38" s="6">
        <v>2.2999999999999998</v>
      </c>
      <c r="H38" s="6">
        <v>3.5</v>
      </c>
      <c r="I38" s="6">
        <v>3.1</v>
      </c>
    </row>
    <row r="40" spans="1:31" ht="18.75" x14ac:dyDescent="0.3">
      <c r="A40" s="2" t="s">
        <v>24</v>
      </c>
      <c r="V40" t="s">
        <v>28</v>
      </c>
    </row>
    <row r="41" spans="1:31" ht="30" x14ac:dyDescent="0.25">
      <c r="A41" s="5" t="s">
        <v>19</v>
      </c>
      <c r="B41" s="5" t="s">
        <v>11</v>
      </c>
      <c r="C41" s="5" t="s">
        <v>12</v>
      </c>
      <c r="D41" s="5" t="s">
        <v>13</v>
      </c>
      <c r="E41" s="5" t="s">
        <v>14</v>
      </c>
      <c r="F41" s="5" t="s">
        <v>15</v>
      </c>
      <c r="G41" s="5" t="s">
        <v>16</v>
      </c>
      <c r="H41" s="5" t="s">
        <v>17</v>
      </c>
      <c r="I41" s="5" t="s">
        <v>18</v>
      </c>
      <c r="U41" s="5"/>
      <c r="V41" s="5" t="s">
        <v>11</v>
      </c>
      <c r="W41" s="5" t="s">
        <v>12</v>
      </c>
      <c r="X41" s="5" t="s">
        <v>13</v>
      </c>
      <c r="Y41" s="5" t="s">
        <v>14</v>
      </c>
      <c r="Z41" s="5" t="s">
        <v>15</v>
      </c>
      <c r="AA41" s="5" t="s">
        <v>16</v>
      </c>
      <c r="AB41" s="5" t="s">
        <v>17</v>
      </c>
      <c r="AC41" s="5" t="s">
        <v>18</v>
      </c>
    </row>
    <row r="42" spans="1:31" x14ac:dyDescent="0.25">
      <c r="A42" s="7" t="s">
        <v>3</v>
      </c>
      <c r="B42" s="6">
        <v>70</v>
      </c>
      <c r="C42" s="6">
        <v>50</v>
      </c>
      <c r="D42" s="6">
        <v>80</v>
      </c>
      <c r="E42" s="6">
        <v>60</v>
      </c>
      <c r="F42" s="6">
        <v>60</v>
      </c>
      <c r="G42" s="6">
        <v>70</v>
      </c>
      <c r="H42" s="6">
        <v>50</v>
      </c>
      <c r="I42" s="6">
        <v>60</v>
      </c>
      <c r="U42" s="7" t="s">
        <v>3</v>
      </c>
      <c r="V42" s="6">
        <f>V32*(100-B33)/100</f>
        <v>1.9599999999999999E-2</v>
      </c>
      <c r="W42" s="6">
        <f t="shared" ref="W42:AC42" si="2">W32*(100-C33)/100</f>
        <v>40.004249999999999</v>
      </c>
      <c r="X42" s="6">
        <f t="shared" si="2"/>
        <v>43.29075000000001</v>
      </c>
      <c r="Y42" s="6">
        <f t="shared" si="2"/>
        <v>0</v>
      </c>
      <c r="Z42" s="6">
        <f t="shared" si="2"/>
        <v>0</v>
      </c>
      <c r="AA42" s="6">
        <f t="shared" si="2"/>
        <v>0</v>
      </c>
      <c r="AB42" s="6">
        <f t="shared" si="2"/>
        <v>0</v>
      </c>
      <c r="AC42" s="6">
        <f t="shared" si="2"/>
        <v>0</v>
      </c>
    </row>
    <row r="43" spans="1:31" x14ac:dyDescent="0.25">
      <c r="A43" s="7" t="s">
        <v>4</v>
      </c>
      <c r="B43" s="6">
        <v>60</v>
      </c>
      <c r="C43" s="6">
        <v>70</v>
      </c>
      <c r="D43" s="6">
        <v>80</v>
      </c>
      <c r="E43" s="6">
        <v>70</v>
      </c>
      <c r="F43" s="6">
        <v>60</v>
      </c>
      <c r="G43" s="6">
        <v>70</v>
      </c>
      <c r="H43" s="6">
        <v>50</v>
      </c>
      <c r="I43" s="6">
        <v>60</v>
      </c>
      <c r="U43" s="7" t="s">
        <v>4</v>
      </c>
      <c r="V43" s="6">
        <f t="shared" ref="V43:V47" si="3">V33*(100-B34)/100</f>
        <v>50.7</v>
      </c>
      <c r="W43" s="6">
        <f t="shared" ref="W43:AC43" si="4">W33*(100-C34)/100</f>
        <v>0</v>
      </c>
      <c r="X43" s="6">
        <f t="shared" si="4"/>
        <v>0.33252000000000004</v>
      </c>
      <c r="Y43" s="6">
        <f t="shared" si="4"/>
        <v>35.560199999999995</v>
      </c>
      <c r="Z43" s="6">
        <f t="shared" si="4"/>
        <v>0</v>
      </c>
      <c r="AA43" s="6">
        <f t="shared" si="4"/>
        <v>0</v>
      </c>
      <c r="AB43" s="6">
        <f t="shared" si="4"/>
        <v>0</v>
      </c>
      <c r="AC43" s="6">
        <f t="shared" si="4"/>
        <v>0</v>
      </c>
    </row>
    <row r="44" spans="1:31" x14ac:dyDescent="0.25">
      <c r="A44" s="7" t="s">
        <v>5</v>
      </c>
      <c r="B44" s="6">
        <v>60</v>
      </c>
      <c r="C44" s="6">
        <v>70</v>
      </c>
      <c r="D44" s="6">
        <v>80</v>
      </c>
      <c r="E44" s="6">
        <v>70</v>
      </c>
      <c r="F44" s="6">
        <v>60</v>
      </c>
      <c r="G44" s="6">
        <v>70</v>
      </c>
      <c r="H44" s="6">
        <v>50</v>
      </c>
      <c r="I44" s="6">
        <v>60</v>
      </c>
      <c r="U44" s="7" t="s">
        <v>5</v>
      </c>
      <c r="V44" s="6">
        <f t="shared" si="3"/>
        <v>0</v>
      </c>
      <c r="W44" s="6">
        <f t="shared" ref="W44:AC44" si="5">W34*(100-C35)/100</f>
        <v>0</v>
      </c>
      <c r="X44" s="6">
        <f t="shared" si="5"/>
        <v>0</v>
      </c>
      <c r="Y44" s="6">
        <f t="shared" si="5"/>
        <v>19.443200000000001</v>
      </c>
      <c r="Z44" s="6">
        <f t="shared" si="5"/>
        <v>0.37829999999999997</v>
      </c>
      <c r="AA44" s="6">
        <f t="shared" si="5"/>
        <v>13.38444</v>
      </c>
      <c r="AB44" s="6">
        <f t="shared" si="5"/>
        <v>0</v>
      </c>
      <c r="AC44" s="6">
        <f t="shared" si="5"/>
        <v>0</v>
      </c>
    </row>
    <row r="45" spans="1:31" x14ac:dyDescent="0.25">
      <c r="A45" s="7" t="s">
        <v>6</v>
      </c>
      <c r="B45" s="6">
        <v>65</v>
      </c>
      <c r="C45" s="6">
        <v>75</v>
      </c>
      <c r="D45" s="6">
        <v>85</v>
      </c>
      <c r="E45" s="6">
        <v>72</v>
      </c>
      <c r="F45" s="6">
        <v>65</v>
      </c>
      <c r="G45" s="6">
        <v>75</v>
      </c>
      <c r="H45" s="6">
        <v>55</v>
      </c>
      <c r="I45" s="6">
        <v>65</v>
      </c>
      <c r="U45" s="7" t="s">
        <v>6</v>
      </c>
      <c r="V45" s="6">
        <f t="shared" si="3"/>
        <v>0</v>
      </c>
      <c r="W45" s="6">
        <f t="shared" ref="W45:AC45" si="6">W35*(100-C36)/100</f>
        <v>0</v>
      </c>
      <c r="X45" s="6">
        <f t="shared" si="6"/>
        <v>0</v>
      </c>
      <c r="Y45" s="6">
        <f t="shared" si="6"/>
        <v>0</v>
      </c>
      <c r="Z45" s="6">
        <f t="shared" si="6"/>
        <v>45.542999999999999</v>
      </c>
      <c r="AA45" s="6">
        <f t="shared" si="6"/>
        <v>21.613060000000001</v>
      </c>
      <c r="AB45" s="6">
        <f t="shared" si="6"/>
        <v>37.498759999999997</v>
      </c>
      <c r="AC45" s="6">
        <f t="shared" si="6"/>
        <v>0.81143999999999994</v>
      </c>
    </row>
    <row r="46" spans="1:31" x14ac:dyDescent="0.25">
      <c r="A46" s="7" t="s">
        <v>7</v>
      </c>
      <c r="B46" s="6">
        <v>70</v>
      </c>
      <c r="C46" s="6">
        <v>80</v>
      </c>
      <c r="D46" s="6">
        <v>90</v>
      </c>
      <c r="E46" s="6">
        <v>75</v>
      </c>
      <c r="F46" s="6">
        <v>70</v>
      </c>
      <c r="G46" s="6">
        <v>80</v>
      </c>
      <c r="H46" s="6">
        <v>60</v>
      </c>
      <c r="I46" s="6">
        <v>70</v>
      </c>
      <c r="U46" s="7" t="s">
        <v>7</v>
      </c>
      <c r="V46" s="6">
        <f t="shared" si="3"/>
        <v>0</v>
      </c>
      <c r="W46" s="6">
        <f t="shared" ref="W46:AC46" si="7">W36*(100-C37)/100</f>
        <v>0</v>
      </c>
      <c r="X46" s="6">
        <f t="shared" si="7"/>
        <v>0</v>
      </c>
      <c r="Y46" s="6">
        <f t="shared" si="7"/>
        <v>0</v>
      </c>
      <c r="Z46" s="6">
        <f t="shared" si="7"/>
        <v>0</v>
      </c>
      <c r="AA46" s="6">
        <f t="shared" si="7"/>
        <v>0</v>
      </c>
      <c r="AB46" s="6">
        <f t="shared" si="7"/>
        <v>0</v>
      </c>
      <c r="AC46" s="6">
        <f t="shared" si="7"/>
        <v>1.5199600000000002</v>
      </c>
    </row>
    <row r="47" spans="1:31" x14ac:dyDescent="0.25">
      <c r="A47" s="7" t="s">
        <v>8</v>
      </c>
      <c r="B47" s="6">
        <v>65</v>
      </c>
      <c r="C47" s="6">
        <v>75</v>
      </c>
      <c r="D47" s="6">
        <v>85</v>
      </c>
      <c r="E47" s="6">
        <v>72</v>
      </c>
      <c r="F47" s="6">
        <v>65</v>
      </c>
      <c r="G47" s="6">
        <v>75</v>
      </c>
      <c r="H47" s="6">
        <v>55</v>
      </c>
      <c r="I47" s="6">
        <v>65</v>
      </c>
      <c r="U47" s="7" t="s">
        <v>8</v>
      </c>
      <c r="V47" s="6">
        <f t="shared" si="3"/>
        <v>0</v>
      </c>
      <c r="W47" s="6">
        <f t="shared" ref="W47:AC47" si="8">W37*(100-C38)/100</f>
        <v>0</v>
      </c>
      <c r="X47" s="6">
        <f t="shared" si="8"/>
        <v>16.66</v>
      </c>
      <c r="Y47" s="6">
        <f t="shared" si="8"/>
        <v>0</v>
      </c>
      <c r="Z47" s="6">
        <f t="shared" si="8"/>
        <v>0</v>
      </c>
      <c r="AA47" s="6">
        <f t="shared" si="8"/>
        <v>0</v>
      </c>
      <c r="AB47" s="6">
        <f t="shared" si="8"/>
        <v>12.545</v>
      </c>
      <c r="AC47" s="6">
        <f t="shared" si="8"/>
        <v>62.984999999999999</v>
      </c>
    </row>
    <row r="48" spans="1:31" ht="30" x14ac:dyDescent="0.25">
      <c r="U48" s="17" t="s">
        <v>29</v>
      </c>
      <c r="V48" s="18">
        <f>SUM(V42:V47)</f>
        <v>50.7196</v>
      </c>
      <c r="W48" s="18">
        <f t="shared" ref="W48:AC48" si="9">SUM(W42:W47)</f>
        <v>40.004249999999999</v>
      </c>
      <c r="X48" s="18">
        <f t="shared" si="9"/>
        <v>60.283270000000016</v>
      </c>
      <c r="Y48" s="18">
        <f t="shared" si="9"/>
        <v>55.003399999999999</v>
      </c>
      <c r="Z48" s="18">
        <f t="shared" si="9"/>
        <v>45.921300000000002</v>
      </c>
      <c r="AA48" s="18">
        <f t="shared" si="9"/>
        <v>34.997500000000002</v>
      </c>
      <c r="AB48" s="18">
        <f t="shared" si="9"/>
        <v>50.043759999999999</v>
      </c>
      <c r="AC48" s="18">
        <f t="shared" si="9"/>
        <v>65.316400000000002</v>
      </c>
    </row>
    <row r="49" spans="21:29" x14ac:dyDescent="0.25">
      <c r="U49" s="13" t="s">
        <v>30</v>
      </c>
      <c r="V49" s="14" t="str">
        <f>IF(V48&lt;B13,"non","oui")</f>
        <v>oui</v>
      </c>
      <c r="W49" s="14" t="str">
        <f>IF(W48&lt;C13,"non","oui")</f>
        <v>oui</v>
      </c>
      <c r="X49" s="14" t="str">
        <f t="shared" ref="W49:AC49" si="10">IF(X48&lt;D13,"non","oui")</f>
        <v>oui</v>
      </c>
      <c r="Y49" s="14" t="str">
        <f t="shared" si="10"/>
        <v>oui</v>
      </c>
      <c r="Z49" s="14" t="str">
        <f t="shared" si="10"/>
        <v>oui</v>
      </c>
      <c r="AA49" s="14" t="str">
        <f t="shared" si="10"/>
        <v>oui</v>
      </c>
      <c r="AB49" s="14" t="str">
        <f t="shared" si="10"/>
        <v>oui</v>
      </c>
      <c r="AC49" s="14" t="str">
        <f t="shared" si="10"/>
        <v>oui</v>
      </c>
    </row>
    <row r="51" spans="21:29" x14ac:dyDescent="0.25">
      <c r="V51" t="s">
        <v>31</v>
      </c>
    </row>
    <row r="52" spans="21:29" x14ac:dyDescent="0.25">
      <c r="U52" s="5"/>
      <c r="V52" s="5" t="s">
        <v>11</v>
      </c>
      <c r="W52" s="5" t="s">
        <v>12</v>
      </c>
      <c r="X52" s="5" t="s">
        <v>13</v>
      </c>
      <c r="Y52" s="5" t="s">
        <v>14</v>
      </c>
      <c r="Z52" s="5" t="s">
        <v>15</v>
      </c>
      <c r="AA52" s="5" t="s">
        <v>16</v>
      </c>
      <c r="AB52" s="5" t="s">
        <v>17</v>
      </c>
      <c r="AC52" s="5" t="s">
        <v>18</v>
      </c>
    </row>
    <row r="53" spans="21:29" x14ac:dyDescent="0.25">
      <c r="U53" s="7" t="s">
        <v>3</v>
      </c>
      <c r="V53" s="19" t="str">
        <f t="shared" ref="V53:AC53" si="11">IF(V32&lt;=B42,"oui","non")</f>
        <v>oui</v>
      </c>
      <c r="W53" s="19" t="str">
        <f t="shared" si="11"/>
        <v>oui</v>
      </c>
      <c r="X53" s="19" t="str">
        <f t="shared" si="11"/>
        <v>oui</v>
      </c>
      <c r="Y53" s="19" t="str">
        <f t="shared" si="11"/>
        <v>oui</v>
      </c>
      <c r="Z53" s="19" t="str">
        <f t="shared" si="11"/>
        <v>oui</v>
      </c>
      <c r="AA53" s="19" t="str">
        <f t="shared" si="11"/>
        <v>oui</v>
      </c>
      <c r="AB53" s="19" t="str">
        <f t="shared" si="11"/>
        <v>oui</v>
      </c>
      <c r="AC53" s="19" t="str">
        <f t="shared" si="11"/>
        <v>oui</v>
      </c>
    </row>
    <row r="54" spans="21:29" x14ac:dyDescent="0.25">
      <c r="U54" s="7" t="s">
        <v>4</v>
      </c>
      <c r="V54" s="19" t="str">
        <f t="shared" ref="V54:AC54" si="12">IF(V33&lt;=B43,"oui","non")</f>
        <v>oui</v>
      </c>
      <c r="W54" s="19" t="str">
        <f t="shared" si="12"/>
        <v>oui</v>
      </c>
      <c r="X54" s="19" t="str">
        <f t="shared" si="12"/>
        <v>oui</v>
      </c>
      <c r="Y54" s="19" t="str">
        <f t="shared" si="12"/>
        <v>oui</v>
      </c>
      <c r="Z54" s="19" t="str">
        <f t="shared" si="12"/>
        <v>oui</v>
      </c>
      <c r="AA54" s="19" t="str">
        <f t="shared" si="12"/>
        <v>oui</v>
      </c>
      <c r="AB54" s="19" t="str">
        <f t="shared" si="12"/>
        <v>oui</v>
      </c>
      <c r="AC54" s="19" t="str">
        <f t="shared" si="12"/>
        <v>oui</v>
      </c>
    </row>
    <row r="55" spans="21:29" x14ac:dyDescent="0.25">
      <c r="U55" s="7" t="s">
        <v>5</v>
      </c>
      <c r="V55" s="19" t="str">
        <f t="shared" ref="V55:AC55" si="13">IF(V34&lt;=B44,"oui","non")</f>
        <v>oui</v>
      </c>
      <c r="W55" s="19" t="str">
        <f t="shared" si="13"/>
        <v>oui</v>
      </c>
      <c r="X55" s="19" t="str">
        <f t="shared" si="13"/>
        <v>oui</v>
      </c>
      <c r="Y55" s="19" t="str">
        <f t="shared" si="13"/>
        <v>oui</v>
      </c>
      <c r="Z55" s="19" t="str">
        <f t="shared" si="13"/>
        <v>oui</v>
      </c>
      <c r="AA55" s="19" t="str">
        <f t="shared" si="13"/>
        <v>oui</v>
      </c>
      <c r="AB55" s="19" t="str">
        <f t="shared" si="13"/>
        <v>oui</v>
      </c>
      <c r="AC55" s="19" t="str">
        <f t="shared" si="13"/>
        <v>oui</v>
      </c>
    </row>
    <row r="56" spans="21:29" x14ac:dyDescent="0.25">
      <c r="U56" s="7" t="s">
        <v>6</v>
      </c>
      <c r="V56" s="19" t="str">
        <f t="shared" ref="V56:AC56" si="14">IF(V35&lt;=B45,"oui","non")</f>
        <v>oui</v>
      </c>
      <c r="W56" s="19" t="str">
        <f t="shared" si="14"/>
        <v>oui</v>
      </c>
      <c r="X56" s="19" t="str">
        <f t="shared" si="14"/>
        <v>oui</v>
      </c>
      <c r="Y56" s="19" t="str">
        <f t="shared" si="14"/>
        <v>oui</v>
      </c>
      <c r="Z56" s="19" t="str">
        <f t="shared" si="14"/>
        <v>oui</v>
      </c>
      <c r="AA56" s="19" t="str">
        <f t="shared" si="14"/>
        <v>oui</v>
      </c>
      <c r="AB56" s="19" t="str">
        <f t="shared" si="14"/>
        <v>oui</v>
      </c>
      <c r="AC56" s="19" t="str">
        <f t="shared" si="14"/>
        <v>oui</v>
      </c>
    </row>
    <row r="57" spans="21:29" x14ac:dyDescent="0.25">
      <c r="U57" s="7" t="s">
        <v>7</v>
      </c>
      <c r="V57" s="19" t="str">
        <f t="shared" ref="V57:AC57" si="15">IF(V36&lt;=B46,"oui","non")</f>
        <v>oui</v>
      </c>
      <c r="W57" s="19" t="str">
        <f t="shared" si="15"/>
        <v>oui</v>
      </c>
      <c r="X57" s="19" t="str">
        <f t="shared" si="15"/>
        <v>oui</v>
      </c>
      <c r="Y57" s="19" t="str">
        <f t="shared" si="15"/>
        <v>oui</v>
      </c>
      <c r="Z57" s="19" t="str">
        <f t="shared" si="15"/>
        <v>oui</v>
      </c>
      <c r="AA57" s="19" t="str">
        <f t="shared" si="15"/>
        <v>oui</v>
      </c>
      <c r="AB57" s="19" t="str">
        <f t="shared" si="15"/>
        <v>oui</v>
      </c>
      <c r="AC57" s="19" t="str">
        <f t="shared" si="15"/>
        <v>oui</v>
      </c>
    </row>
    <row r="58" spans="21:29" x14ac:dyDescent="0.25">
      <c r="U58" s="7" t="s">
        <v>8</v>
      </c>
      <c r="V58" s="19" t="str">
        <f t="shared" ref="V58:AB58" si="16">IF(V37&lt;=B47,"oui","non")</f>
        <v>oui</v>
      </c>
      <c r="W58" s="19" t="str">
        <f t="shared" si="16"/>
        <v>oui</v>
      </c>
      <c r="X58" s="19" t="str">
        <f t="shared" si="16"/>
        <v>oui</v>
      </c>
      <c r="Y58" s="19" t="str">
        <f t="shared" si="16"/>
        <v>oui</v>
      </c>
      <c r="Z58" s="19" t="str">
        <f t="shared" si="16"/>
        <v>oui</v>
      </c>
      <c r="AA58" s="19" t="str">
        <f t="shared" si="16"/>
        <v>oui</v>
      </c>
      <c r="AB58" s="19" t="str">
        <f t="shared" si="16"/>
        <v>oui</v>
      </c>
      <c r="AC58" s="19" t="str">
        <f>IF(AC37&lt;=I47,"oui","non")</f>
        <v>oui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BRAHMI</dc:creator>
  <cp:lastModifiedBy>Molka Mejri</cp:lastModifiedBy>
  <dcterms:created xsi:type="dcterms:W3CDTF">2025-02-28T22:13:14Z</dcterms:created>
  <dcterms:modified xsi:type="dcterms:W3CDTF">2025-03-06T13:02:04Z</dcterms:modified>
</cp:coreProperties>
</file>